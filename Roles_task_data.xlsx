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StudentWellBeing\"/>
    </mc:Choice>
  </mc:AlternateContent>
  <xr:revisionPtr revIDLastSave="0" documentId="13_ncr:1_{55EC6302-8A45-46D3-B930-66F25F7064B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ole_and_task" sheetId="1" r:id="rId1"/>
    <sheet name="database_architecture" sheetId="2" r:id="rId2"/>
    <sheet name="students_data" sheetId="3" r:id="rId3"/>
    <sheet name="Counselor_remar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11" i="3"/>
  <c r="I5" i="4"/>
  <c r="J5" i="4" s="1"/>
  <c r="I4" i="4"/>
  <c r="K4" i="4" s="1"/>
  <c r="I3" i="4"/>
  <c r="I2" i="4"/>
  <c r="J2" i="4" s="1"/>
  <c r="K2" i="4" l="1"/>
  <c r="K5" i="4"/>
  <c r="J4" i="4"/>
</calcChain>
</file>

<file path=xl/sharedStrings.xml><?xml version="1.0" encoding="utf-8"?>
<sst xmlns="http://schemas.openxmlformats.org/spreadsheetml/2006/main" count="264" uniqueCount="192">
  <si>
    <t>ROLE</t>
  </si>
  <si>
    <t>Task_def</t>
  </si>
  <si>
    <t>S. No</t>
  </si>
  <si>
    <t>TASK</t>
  </si>
  <si>
    <t>Teacher</t>
  </si>
  <si>
    <t>1,2,3,4</t>
  </si>
  <si>
    <t>Fill in the student's detail</t>
  </si>
  <si>
    <t>Counselor</t>
  </si>
  <si>
    <t>2,3,4</t>
  </si>
  <si>
    <t>Fill in student's related information</t>
  </si>
  <si>
    <t>Assistant Headmaster</t>
  </si>
  <si>
    <t>1,2,3,4,5,7,9,16</t>
  </si>
  <si>
    <t>Invoke Agent 1</t>
  </si>
  <si>
    <t>Headmaster</t>
  </si>
  <si>
    <t>1,2,3,4,5,7,9,10,16</t>
  </si>
  <si>
    <t>Invoke Agent 2</t>
  </si>
  <si>
    <t>School Admin</t>
  </si>
  <si>
    <t>1,2,3,4,5,7,9,10,12,14,16</t>
  </si>
  <si>
    <t>Register and give role to teacher of one school</t>
  </si>
  <si>
    <t>Super Admin</t>
  </si>
  <si>
    <t>1,2,3,4,6,8,9,11,13,15,16</t>
  </si>
  <si>
    <t>Register and give role to teacher of any school</t>
  </si>
  <si>
    <t>Register and give role to counselor of one school</t>
  </si>
  <si>
    <t>Register and give role to counselor of any school</t>
  </si>
  <si>
    <t>Invoke Agent 3</t>
  </si>
  <si>
    <t>Register and give role to assistant headmaster of one school</t>
  </si>
  <si>
    <t>Register and give role to assistant headmaster of any school</t>
  </si>
  <si>
    <t>Register and give role to headmaster of one school</t>
  </si>
  <si>
    <t>Register and give role to headmaster of any school</t>
  </si>
  <si>
    <t>View and edit all data of one school</t>
  </si>
  <si>
    <t>View and edit all data of any school</t>
  </si>
  <si>
    <t>Invoke Agent 4</t>
  </si>
  <si>
    <t>Role</t>
  </si>
  <si>
    <t>users</t>
  </si>
  <si>
    <t>Employees</t>
  </si>
  <si>
    <t>class-detail</t>
  </si>
  <si>
    <t>student</t>
  </si>
  <si>
    <t>School</t>
  </si>
  <si>
    <t>role_id</t>
  </si>
  <si>
    <t>role_name</t>
  </si>
  <si>
    <t>icno</t>
  </si>
  <si>
    <t>role</t>
  </si>
  <si>
    <t>school_id</t>
  </si>
  <si>
    <t>IC_no</t>
  </si>
  <si>
    <t>name</t>
  </si>
  <si>
    <t>contactno</t>
  </si>
  <si>
    <t>doj</t>
  </si>
  <si>
    <t>school</t>
  </si>
  <si>
    <t>ID</t>
  </si>
  <si>
    <t>section</t>
  </si>
  <si>
    <t>year</t>
  </si>
  <si>
    <t>parent</t>
  </si>
  <si>
    <t>School_id</t>
  </si>
  <si>
    <t>school_name</t>
  </si>
  <si>
    <t>Address</t>
  </si>
  <si>
    <t>District</t>
  </si>
  <si>
    <t>state</t>
  </si>
  <si>
    <t>teacher</t>
  </si>
  <si>
    <t>WBC0136</t>
  </si>
  <si>
    <t>Lai</t>
  </si>
  <si>
    <t>4a</t>
  </si>
  <si>
    <t>abhishek</t>
  </si>
  <si>
    <t>SJKC Sentul</t>
  </si>
  <si>
    <t>counselor</t>
  </si>
  <si>
    <t>Rajendra</t>
  </si>
  <si>
    <t>4b</t>
  </si>
  <si>
    <t>fisha</t>
  </si>
  <si>
    <t>SJKT Tamil</t>
  </si>
  <si>
    <t>asst hm</t>
  </si>
  <si>
    <t>WBC0137</t>
  </si>
  <si>
    <t>Vasant</t>
  </si>
  <si>
    <t>4c</t>
  </si>
  <si>
    <t>SK Bandar Baru Sentul</t>
  </si>
  <si>
    <t>headmaster</t>
  </si>
  <si>
    <t>zahid</t>
  </si>
  <si>
    <t>4d</t>
  </si>
  <si>
    <t>schooladmin</t>
  </si>
  <si>
    <t>WBC0138</t>
  </si>
  <si>
    <t>superadmin</t>
  </si>
  <si>
    <t>Student-class_asso</t>
  </si>
  <si>
    <t>Teacher-class_asso</t>
  </si>
  <si>
    <t>id</t>
  </si>
  <si>
    <t>student_icno</t>
  </si>
  <si>
    <t>class_id</t>
  </si>
  <si>
    <t>teacher_icno</t>
  </si>
  <si>
    <t>Schoo_id</t>
  </si>
  <si>
    <t>School Name</t>
  </si>
  <si>
    <t>Student IC</t>
  </si>
  <si>
    <t>Class</t>
  </si>
  <si>
    <t>Student Name</t>
  </si>
  <si>
    <t>Percentage Attendance</t>
  </si>
  <si>
    <t>2M</t>
  </si>
  <si>
    <t>WILLBER TAN WEI BO</t>
  </si>
  <si>
    <t>tidak mengikut giliran, memukul murid</t>
  </si>
  <si>
    <t>3K</t>
  </si>
  <si>
    <t>KYLER DARNIEL</t>
  </si>
  <si>
    <t>membawa pisau, memukul guru dan murid</t>
  </si>
  <si>
    <t>6B</t>
  </si>
  <si>
    <t>WONG JUN HAN</t>
  </si>
  <si>
    <t>merosakkan harta benda sekolah</t>
  </si>
  <si>
    <t>THILUSHAN SAIRAAM A/L SENTHIL KUMAR</t>
  </si>
  <si>
    <t>Sentul</t>
  </si>
  <si>
    <t>State</t>
  </si>
  <si>
    <t>Kuala Lumpur</t>
  </si>
  <si>
    <t>Emosi Diri</t>
  </si>
  <si>
    <t>Hubungan Sosial</t>
  </si>
  <si>
    <t>Tingkah Laku</t>
  </si>
  <si>
    <t>Konsep Kendiri</t>
  </si>
  <si>
    <t>Tekanan &amp; Kebimbangan</t>
  </si>
  <si>
    <t>Total Score</t>
  </si>
  <si>
    <t>Tahap Minda Sihat</t>
  </si>
  <si>
    <t>Cadangan Tindakan</t>
  </si>
  <si>
    <t>Rendah (Berisiko)</t>
  </si>
  <si>
    <t>Murid memerlukan intervensi segera. Rujukan kepada Guru Bimbingan &amp; Kaunseling atau pakar perlu dibuat.</t>
  </si>
  <si>
    <t>Jumlah Markah</t>
  </si>
  <si>
    <t>Konstruk</t>
  </si>
  <si>
    <t>Nombor Soalan</t>
  </si>
  <si>
    <t>Markah Maksimum</t>
  </si>
  <si>
    <t>Tinggi (Minda Sihat)</t>
  </si>
  <si>
    <t>109 – 144</t>
  </si>
  <si>
    <t>Teruskan amalan positif. Murid menunjukkan kesejahteraan mental yang baik.</t>
  </si>
  <si>
    <t>A. Emosi Diri</t>
  </si>
  <si>
    <t>1 – 8</t>
  </si>
  <si>
    <t>Sederhana (Perlu Perhatian)</t>
  </si>
  <si>
    <t>73 – 108</t>
  </si>
  <si>
    <t>Murid memerlukan bimbingan dan sokongan. Guru bimbingan perlu memantau secara berkala.</t>
  </si>
  <si>
    <t>B. Hubungan Sosial</t>
  </si>
  <si>
    <t>9 – 16</t>
  </si>
  <si>
    <t>36 – 72</t>
  </si>
  <si>
    <t>C. Tingkah Laku</t>
  </si>
  <si>
    <t>17 – 24</t>
  </si>
  <si>
    <t>D. Konsep Kendiri</t>
  </si>
  <si>
    <t>25 – 30</t>
  </si>
  <si>
    <t>E. Tekanan &amp; Kebimbangan</t>
  </si>
  <si>
    <t>31 – 36</t>
  </si>
  <si>
    <t>JUMLAH KESELURUHAN</t>
  </si>
  <si>
    <t>1 – 36</t>
  </si>
  <si>
    <t>School Year</t>
  </si>
  <si>
    <t>Gender</t>
  </si>
  <si>
    <t>Male</t>
  </si>
  <si>
    <t>Masalah kesihatan</t>
  </si>
  <si>
    <t xml:space="preserve">Reason for Absence </t>
  </si>
  <si>
    <t xml:space="preserve">Masalah kesihatan, Masalah keluarga, ponteng sekolah, </t>
  </si>
  <si>
    <t>ponteng sekolah, bergaduh, merosakkan buku SPBT</t>
  </si>
  <si>
    <t>Details of student misconduct</t>
  </si>
  <si>
    <t>Student_ID</t>
  </si>
  <si>
    <t>Record_date</t>
  </si>
  <si>
    <t>Status</t>
  </si>
  <si>
    <t>Reason</t>
  </si>
  <si>
    <t>Recorded_by</t>
  </si>
  <si>
    <t>Id</t>
  </si>
  <si>
    <t>Incident_date</t>
  </si>
  <si>
    <t>incident_type</t>
  </si>
  <si>
    <t>severity</t>
  </si>
  <si>
    <t>description</t>
  </si>
  <si>
    <t>action_taken</t>
  </si>
  <si>
    <t>reported_by</t>
  </si>
  <si>
    <t>25/7/2026</t>
  </si>
  <si>
    <t>25/7/2027</t>
  </si>
  <si>
    <t>25/7/2028</t>
  </si>
  <si>
    <t>25/7/2029</t>
  </si>
  <si>
    <t>801010-14-1000</t>
  </si>
  <si>
    <t>791125-14-1010</t>
  </si>
  <si>
    <t>851225-03-5055</t>
  </si>
  <si>
    <t>920303-10-5068</t>
  </si>
  <si>
    <t>Tingkah laku jenayah</t>
  </si>
  <si>
    <t>Kenakalan</t>
  </si>
  <si>
    <t>Ringan</t>
  </si>
  <si>
    <t>Berat</t>
  </si>
  <si>
    <t>Sederhana</t>
  </si>
  <si>
    <t>Ponteng, Vandalisme</t>
  </si>
  <si>
    <t>Vandalisme</t>
  </si>
  <si>
    <t>Surat amaran, panggilan ibu bapa</t>
  </si>
  <si>
    <t>tidak mengikut giliran, meludah di merata-rata</t>
  </si>
  <si>
    <t>Amaran lisan, Khidmat masyarakat di sekolah</t>
  </si>
  <si>
    <t>Merotan, panggilan ibu bapa</t>
  </si>
  <si>
    <t xml:space="preserve">Amaran lisan, Khidmat masyarakat di sekolah </t>
  </si>
  <si>
    <t>Score</t>
  </si>
  <si>
    <t>Percentage attendance</t>
  </si>
  <si>
    <t>91-100</t>
  </si>
  <si>
    <t>Below 70</t>
  </si>
  <si>
    <t>71-75</t>
  </si>
  <si>
    <t>76-80</t>
  </si>
  <si>
    <t>81-85</t>
  </si>
  <si>
    <t>86-90</t>
  </si>
  <si>
    <t>WHOOLEY</t>
  </si>
  <si>
    <t>GAD-2 Score</t>
  </si>
  <si>
    <t>GAD-2 Status</t>
  </si>
  <si>
    <t>Negative</t>
  </si>
  <si>
    <t>Positive</t>
  </si>
  <si>
    <t>Year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</si>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</sst>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 Narrow"/>
      <family val="2"/>
    </font>
    <font>
      <b/>
      <sz val="9"/>
      <color theme="1"/>
      <name val="Arial Narrow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0"/>
      <color rgb="FF155724"/>
      <name val="Arial"/>
      <family val="2"/>
    </font>
    <font>
      <sz val="10"/>
      <color rgb="FF155724"/>
      <name val="Arial"/>
      <family val="2"/>
    </font>
    <font>
      <sz val="10"/>
      <color theme="1"/>
      <name val="Arial"/>
      <family val="2"/>
    </font>
    <font>
      <b/>
      <sz val="10"/>
      <color rgb="FF856404"/>
      <name val="Arial"/>
      <family val="2"/>
    </font>
    <font>
      <sz val="10"/>
      <color rgb="FF856404"/>
      <name val="Arial"/>
      <family val="2"/>
    </font>
    <font>
      <b/>
      <sz val="10"/>
      <color rgb="FF721C24"/>
      <name val="Arial"/>
      <family val="2"/>
    </font>
    <font>
      <sz val="10"/>
      <color rgb="FF721C24"/>
      <name val="Arial"/>
      <family val="2"/>
    </font>
    <font>
      <b/>
      <sz val="10"/>
      <color theme="1"/>
      <name val="Arial"/>
      <family val="2"/>
    </font>
    <font>
      <sz val="11"/>
      <color rgb="FF1F1F1F"/>
      <name val="Arial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5C99"/>
        <bgColor indexed="64"/>
      </patternFill>
    </fill>
    <fill>
      <patternFill patternType="solid">
        <fgColor rgb="FFD5EDDA"/>
        <bgColor indexed="64"/>
      </patternFill>
    </fill>
    <fill>
      <patternFill patternType="solid">
        <fgColor rgb="FFEBF4FB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6E4F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5C99"/>
      </left>
      <right style="medium">
        <color rgb="FF1F5C99"/>
      </right>
      <top style="medium">
        <color rgb="FF1F5C99"/>
      </top>
      <bottom style="medium">
        <color rgb="FF1F5C99"/>
      </bottom>
      <diagonal/>
    </border>
    <border>
      <left/>
      <right style="medium">
        <color rgb="FF1F5C99"/>
      </right>
      <top style="medium">
        <color rgb="FF1F5C99"/>
      </top>
      <bottom style="medium">
        <color rgb="FF1F5C99"/>
      </bottom>
      <diagonal/>
    </border>
    <border>
      <left style="medium">
        <color rgb="FF1F5C99"/>
      </left>
      <right style="medium">
        <color rgb="FF1F5C99"/>
      </right>
      <top/>
      <bottom style="medium">
        <color rgb="FF1F5C99"/>
      </bottom>
      <diagonal/>
    </border>
    <border>
      <left/>
      <right style="medium">
        <color rgb="FF1F5C99"/>
      </right>
      <top/>
      <bottom style="medium">
        <color rgb="FF1F5C9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9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164" fontId="7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 wrapText="1"/>
    </xf>
    <xf numFmtId="0" fontId="11" fillId="4" borderId="4" xfId="0" applyFont="1" applyFill="1" applyBorder="1" applyAlignment="1">
      <alignment horizontal="left" vertical="top" wrapText="1"/>
    </xf>
    <xf numFmtId="0" fontId="11" fillId="4" borderId="5" xfId="0" applyFont="1" applyFill="1" applyBorder="1" applyAlignment="1">
      <alignment horizontal="left" vertical="top" wrapText="1"/>
    </xf>
    <xf numFmtId="0" fontId="11" fillId="4" borderId="5" xfId="0" applyFont="1" applyFill="1" applyBorder="1" applyAlignment="1">
      <alignment horizontal="center" vertical="top" wrapText="1"/>
    </xf>
    <xf numFmtId="0" fontId="12" fillId="5" borderId="4" xfId="0" applyFont="1" applyFill="1" applyBorder="1" applyAlignment="1">
      <alignment vertical="top" wrapText="1"/>
    </xf>
    <xf numFmtId="0" fontId="13" fillId="5" borderId="5" xfId="0" applyFont="1" applyFill="1" applyBorder="1" applyAlignment="1">
      <alignment vertical="top" wrapText="1"/>
    </xf>
    <xf numFmtId="0" fontId="11" fillId="6" borderId="4" xfId="0" applyFont="1" applyFill="1" applyBorder="1" applyAlignment="1">
      <alignment horizontal="left" vertical="top" wrapText="1"/>
    </xf>
    <xf numFmtId="0" fontId="11" fillId="6" borderId="5" xfId="0" applyFont="1" applyFill="1" applyBorder="1" applyAlignment="1">
      <alignment horizontal="left" vertical="top" wrapText="1"/>
    </xf>
    <xf numFmtId="0" fontId="11" fillId="6" borderId="5" xfId="0" applyFont="1" applyFill="1" applyBorder="1" applyAlignment="1">
      <alignment horizontal="center" vertical="top" wrapText="1"/>
    </xf>
    <xf numFmtId="0" fontId="14" fillId="7" borderId="4" xfId="0" applyFont="1" applyFill="1" applyBorder="1" applyAlignment="1">
      <alignment vertical="top" wrapText="1"/>
    </xf>
    <xf numFmtId="0" fontId="15" fillId="7" borderId="5" xfId="0" applyFont="1" applyFill="1" applyBorder="1" applyAlignment="1">
      <alignment vertical="top" wrapText="1"/>
    </xf>
    <xf numFmtId="0" fontId="16" fillId="8" borderId="4" xfId="0" applyFont="1" applyFill="1" applyBorder="1" applyAlignment="1">
      <alignment vertical="top" wrapText="1"/>
    </xf>
    <xf numFmtId="0" fontId="16" fillId="8" borderId="5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E9" sqref="E9"/>
    </sheetView>
  </sheetViews>
  <sheetFormatPr defaultColWidth="67.44140625" defaultRowHeight="14.4" x14ac:dyDescent="0.25"/>
  <cols>
    <col min="1" max="1" width="18.109375" style="7" customWidth="1"/>
    <col min="2" max="2" width="21.77734375" style="7" customWidth="1"/>
    <col min="3" max="3" width="5.33203125" style="7" customWidth="1"/>
    <col min="4" max="4" width="59.44140625" style="7" customWidth="1"/>
    <col min="5" max="16383" width="67.44140625" style="7" customWidth="1"/>
    <col min="16384" max="16384" width="67.44140625" style="7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9" t="s">
        <v>4</v>
      </c>
      <c r="B2" s="9" t="s">
        <v>5</v>
      </c>
      <c r="C2" s="9">
        <v>1</v>
      </c>
      <c r="D2" s="9" t="s">
        <v>6</v>
      </c>
    </row>
    <row r="3" spans="1:4" x14ac:dyDescent="0.25">
      <c r="A3" s="9" t="s">
        <v>7</v>
      </c>
      <c r="B3" s="9" t="s">
        <v>8</v>
      </c>
      <c r="C3" s="9">
        <v>2</v>
      </c>
      <c r="D3" s="9" t="s">
        <v>9</v>
      </c>
    </row>
    <row r="4" spans="1:4" ht="28.8" x14ac:dyDescent="0.25">
      <c r="A4" s="9" t="s">
        <v>10</v>
      </c>
      <c r="B4" s="9" t="s">
        <v>11</v>
      </c>
      <c r="C4" s="9">
        <v>3</v>
      </c>
      <c r="D4" s="9" t="s">
        <v>12</v>
      </c>
    </row>
    <row r="5" spans="1:4" x14ac:dyDescent="0.25">
      <c r="A5" s="9" t="s">
        <v>13</v>
      </c>
      <c r="B5" s="9" t="s">
        <v>14</v>
      </c>
      <c r="C5" s="9">
        <v>4</v>
      </c>
      <c r="D5" s="9" t="s">
        <v>15</v>
      </c>
    </row>
    <row r="6" spans="1:4" ht="28.8" x14ac:dyDescent="0.25">
      <c r="A6" s="9" t="s">
        <v>16</v>
      </c>
      <c r="B6" s="9" t="s">
        <v>17</v>
      </c>
      <c r="C6" s="9">
        <v>5</v>
      </c>
      <c r="D6" s="9" t="s">
        <v>18</v>
      </c>
    </row>
    <row r="7" spans="1:4" ht="28.8" x14ac:dyDescent="0.25">
      <c r="A7" s="9" t="s">
        <v>19</v>
      </c>
      <c r="B7" s="9" t="s">
        <v>20</v>
      </c>
      <c r="C7" s="9">
        <v>6</v>
      </c>
      <c r="D7" s="9" t="s">
        <v>21</v>
      </c>
    </row>
    <row r="8" spans="1:4" x14ac:dyDescent="0.25">
      <c r="A8" s="10"/>
      <c r="B8" s="10"/>
      <c r="C8" s="9">
        <v>7</v>
      </c>
      <c r="D8" s="9" t="s">
        <v>22</v>
      </c>
    </row>
    <row r="9" spans="1:4" x14ac:dyDescent="0.25">
      <c r="A9" s="10"/>
      <c r="B9" s="10"/>
      <c r="C9" s="9">
        <v>8</v>
      </c>
      <c r="D9" s="9" t="s">
        <v>23</v>
      </c>
    </row>
    <row r="10" spans="1:4" x14ac:dyDescent="0.25">
      <c r="A10" s="11"/>
      <c r="B10" s="11"/>
      <c r="C10" s="9">
        <v>9</v>
      </c>
      <c r="D10" s="9" t="s">
        <v>24</v>
      </c>
    </row>
    <row r="11" spans="1:4" ht="28.8" x14ac:dyDescent="0.25">
      <c r="A11" s="10"/>
      <c r="B11" s="10"/>
      <c r="C11" s="9">
        <v>10</v>
      </c>
      <c r="D11" s="9" t="s">
        <v>25</v>
      </c>
    </row>
    <row r="12" spans="1:4" ht="28.8" x14ac:dyDescent="0.25">
      <c r="A12" s="10"/>
      <c r="B12" s="10"/>
      <c r="C12" s="9">
        <v>11</v>
      </c>
      <c r="D12" s="9" t="s">
        <v>26</v>
      </c>
    </row>
    <row r="13" spans="1:4" x14ac:dyDescent="0.25">
      <c r="A13" s="10"/>
      <c r="B13" s="10"/>
      <c r="C13" s="9">
        <v>12</v>
      </c>
      <c r="D13" s="9" t="s">
        <v>27</v>
      </c>
    </row>
    <row r="14" spans="1:4" x14ac:dyDescent="0.25">
      <c r="A14" s="10"/>
      <c r="B14" s="10"/>
      <c r="C14" s="9">
        <v>13</v>
      </c>
      <c r="D14" s="9" t="s">
        <v>28</v>
      </c>
    </row>
    <row r="15" spans="1:4" x14ac:dyDescent="0.25">
      <c r="A15" s="10"/>
      <c r="B15" s="10"/>
      <c r="C15" s="9">
        <v>14</v>
      </c>
      <c r="D15" s="9" t="s">
        <v>29</v>
      </c>
    </row>
    <row r="16" spans="1:4" x14ac:dyDescent="0.25">
      <c r="A16" s="10"/>
      <c r="B16" s="10"/>
      <c r="C16" s="9">
        <v>15</v>
      </c>
      <c r="D16" s="9" t="s">
        <v>30</v>
      </c>
    </row>
    <row r="17" spans="3:4" x14ac:dyDescent="0.25">
      <c r="C17" s="9">
        <v>16</v>
      </c>
      <c r="D17" s="9" t="s">
        <v>31</v>
      </c>
    </row>
    <row r="18" spans="3:4" x14ac:dyDescent="0.25">
      <c r="D18" s="10"/>
    </row>
    <row r="19" spans="3:4" x14ac:dyDescent="0.25">
      <c r="D19" s="10"/>
    </row>
    <row r="20" spans="3:4" x14ac:dyDescent="0.25">
      <c r="D20" s="11"/>
    </row>
    <row r="21" spans="3:4" x14ac:dyDescent="0.25">
      <c r="D21" s="10"/>
    </row>
    <row r="22" spans="3:4" x14ac:dyDescent="0.25">
      <c r="D22" s="10"/>
    </row>
    <row r="23" spans="3:4" x14ac:dyDescent="0.25">
      <c r="D23" s="10"/>
    </row>
    <row r="24" spans="3:4" x14ac:dyDescent="0.25">
      <c r="D24" s="10"/>
    </row>
    <row r="25" spans="3:4" x14ac:dyDescent="0.25">
      <c r="D25" s="10"/>
    </row>
    <row r="26" spans="3:4" x14ac:dyDescent="0.25">
      <c r="D2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6"/>
  <sheetViews>
    <sheetView workbookViewId="0">
      <selection activeCell="G17" sqref="G17"/>
    </sheetView>
  </sheetViews>
  <sheetFormatPr defaultColWidth="8.77734375" defaultRowHeight="14.4" x14ac:dyDescent="0.25"/>
  <cols>
    <col min="1" max="1" width="6.21875" customWidth="1"/>
    <col min="2" max="2" width="11.88671875" customWidth="1"/>
    <col min="3" max="3" width="8" customWidth="1"/>
    <col min="4" max="5" width="9.33203125" customWidth="1"/>
    <col min="6" max="6" width="9.109375" customWidth="1"/>
    <col min="7" max="7" width="6.44140625" customWidth="1"/>
    <col min="9" max="9" width="10.5546875" customWidth="1"/>
    <col min="10" max="10" width="12" customWidth="1"/>
    <col min="27" max="27" width="9.44140625" customWidth="1"/>
    <col min="28" max="28" width="12.44140625" customWidth="1"/>
    <col min="29" max="29" width="8" customWidth="1"/>
    <col min="30" max="30" width="7" customWidth="1"/>
    <col min="31" max="31" width="5.44140625" customWidth="1"/>
  </cols>
  <sheetData>
    <row r="1" spans="1:31" x14ac:dyDescent="0.25">
      <c r="A1" s="47" t="s">
        <v>32</v>
      </c>
      <c r="B1" s="47"/>
      <c r="D1" s="47" t="s">
        <v>33</v>
      </c>
      <c r="E1" s="47"/>
      <c r="F1" s="47"/>
      <c r="G1" s="2"/>
      <c r="H1" s="47" t="s">
        <v>34</v>
      </c>
      <c r="I1" s="47"/>
      <c r="J1" s="47"/>
      <c r="K1" s="47"/>
      <c r="L1" s="47"/>
      <c r="N1" s="3" t="s">
        <v>35</v>
      </c>
      <c r="O1" s="3"/>
      <c r="P1" s="3"/>
      <c r="Q1" s="3"/>
      <c r="R1" s="3"/>
      <c r="T1" s="46" t="s">
        <v>36</v>
      </c>
      <c r="U1" s="46"/>
      <c r="V1" s="46"/>
      <c r="W1" s="46"/>
      <c r="X1" s="46"/>
      <c r="Y1" s="46"/>
      <c r="AA1" s="46" t="s">
        <v>37</v>
      </c>
      <c r="AB1" s="46"/>
      <c r="AC1" s="46"/>
      <c r="AD1" s="46"/>
      <c r="AE1" s="46"/>
    </row>
    <row r="2" spans="1:31" x14ac:dyDescent="0.25">
      <c r="A2" s="1" t="s">
        <v>38</v>
      </c>
      <c r="B2" s="1" t="s">
        <v>39</v>
      </c>
      <c r="D2" s="1" t="s">
        <v>40</v>
      </c>
      <c r="E2" s="1" t="s">
        <v>41</v>
      </c>
      <c r="F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  <c r="N2" s="3" t="s">
        <v>48</v>
      </c>
      <c r="O2" s="3" t="s">
        <v>44</v>
      </c>
      <c r="P2" s="3" t="s">
        <v>49</v>
      </c>
      <c r="Q2" s="3" t="s">
        <v>50</v>
      </c>
      <c r="R2" s="3" t="s">
        <v>47</v>
      </c>
      <c r="T2" s="4" t="s">
        <v>43</v>
      </c>
      <c r="U2" s="4" t="s">
        <v>44</v>
      </c>
      <c r="V2" s="4" t="s">
        <v>51</v>
      </c>
      <c r="W2" s="4" t="s">
        <v>45</v>
      </c>
      <c r="X2" s="4" t="s">
        <v>46</v>
      </c>
      <c r="Y2" s="4" t="s">
        <v>47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</row>
    <row r="3" spans="1:31" x14ac:dyDescent="0.25">
      <c r="A3" s="4">
        <v>1</v>
      </c>
      <c r="B3" s="4" t="s">
        <v>57</v>
      </c>
      <c r="D3" s="4"/>
      <c r="E3" s="4">
        <v>1</v>
      </c>
      <c r="F3" s="4" t="s">
        <v>58</v>
      </c>
      <c r="H3" s="4">
        <v>12344</v>
      </c>
      <c r="I3" s="4" t="s">
        <v>59</v>
      </c>
      <c r="J3" s="3">
        <v>60101234567</v>
      </c>
      <c r="K3" s="5">
        <v>40210</v>
      </c>
      <c r="L3" s="4">
        <v>10001</v>
      </c>
      <c r="N3" s="3">
        <v>1</v>
      </c>
      <c r="O3" s="3">
        <v>4</v>
      </c>
      <c r="P3" s="3" t="s">
        <v>60</v>
      </c>
      <c r="Q3" s="3"/>
      <c r="R3" s="3">
        <v>10001</v>
      </c>
      <c r="T3" s="4">
        <v>112233</v>
      </c>
      <c r="U3" s="4" t="s">
        <v>61</v>
      </c>
      <c r="V3" s="4"/>
      <c r="W3" s="4"/>
      <c r="X3" s="4"/>
      <c r="Y3" s="4">
        <v>10001</v>
      </c>
      <c r="AA3" s="4">
        <v>10001</v>
      </c>
      <c r="AB3" s="4" t="s">
        <v>62</v>
      </c>
      <c r="AC3" s="4"/>
      <c r="AD3" s="4"/>
      <c r="AE3" s="4"/>
    </row>
    <row r="4" spans="1:31" x14ac:dyDescent="0.25">
      <c r="A4" s="4">
        <v>2</v>
      </c>
      <c r="B4" s="4" t="s">
        <v>63</v>
      </c>
      <c r="D4" s="4">
        <v>12355</v>
      </c>
      <c r="E4" s="4">
        <v>2</v>
      </c>
      <c r="F4" s="4" t="s">
        <v>58</v>
      </c>
      <c r="H4" s="4">
        <v>12355</v>
      </c>
      <c r="I4" s="4" t="s">
        <v>64</v>
      </c>
      <c r="J4">
        <v>60101234567</v>
      </c>
      <c r="K4" s="4"/>
      <c r="L4" s="4">
        <v>10001</v>
      </c>
      <c r="N4" s="3">
        <v>2</v>
      </c>
      <c r="O4" s="3">
        <v>4</v>
      </c>
      <c r="P4" s="3" t="s">
        <v>65</v>
      </c>
      <c r="Q4" s="3"/>
      <c r="R4" s="3">
        <v>10001</v>
      </c>
      <c r="T4" s="4">
        <v>112234</v>
      </c>
      <c r="U4" s="4" t="s">
        <v>66</v>
      </c>
      <c r="V4" s="4"/>
      <c r="W4" s="4"/>
      <c r="X4" s="4"/>
      <c r="Y4" s="4">
        <v>10001</v>
      </c>
      <c r="AA4" s="4">
        <v>10002</v>
      </c>
      <c r="AB4" s="4" t="s">
        <v>67</v>
      </c>
      <c r="AC4" s="4"/>
      <c r="AD4" s="4"/>
      <c r="AE4" s="4"/>
    </row>
    <row r="5" spans="1:31" ht="28.8" x14ac:dyDescent="0.25">
      <c r="A5" s="4">
        <v>3</v>
      </c>
      <c r="B5" s="4" t="s">
        <v>68</v>
      </c>
      <c r="D5" s="4">
        <v>12345</v>
      </c>
      <c r="E5" s="4">
        <v>1</v>
      </c>
      <c r="F5" s="4" t="s">
        <v>69</v>
      </c>
      <c r="H5" s="4">
        <v>12345</v>
      </c>
      <c r="I5" s="4" t="s">
        <v>70</v>
      </c>
      <c r="J5" s="4">
        <v>60161234567</v>
      </c>
      <c r="K5" s="4"/>
      <c r="L5" s="4">
        <v>10001</v>
      </c>
      <c r="N5" s="3">
        <v>3</v>
      </c>
      <c r="O5" s="3">
        <v>4</v>
      </c>
      <c r="P5" s="3" t="s">
        <v>71</v>
      </c>
      <c r="Q5" s="3">
        <v>2011</v>
      </c>
      <c r="R5" s="3">
        <v>10001</v>
      </c>
      <c r="T5" s="4"/>
      <c r="U5" s="4"/>
      <c r="V5" s="4"/>
      <c r="W5" s="4"/>
      <c r="X5" s="4"/>
      <c r="Y5" s="4"/>
      <c r="AA5" s="4">
        <v>10003</v>
      </c>
      <c r="AB5" s="6" t="s">
        <v>72</v>
      </c>
      <c r="AC5" s="4"/>
      <c r="AD5" s="4"/>
      <c r="AE5" s="4"/>
    </row>
    <row r="6" spans="1:31" x14ac:dyDescent="0.25">
      <c r="A6" s="4">
        <v>4</v>
      </c>
      <c r="B6" s="4" t="s">
        <v>73</v>
      </c>
      <c r="D6" s="4">
        <v>12346</v>
      </c>
      <c r="E6" s="4">
        <v>2</v>
      </c>
      <c r="F6" s="4" t="s">
        <v>69</v>
      </c>
      <c r="H6" s="4">
        <v>12346</v>
      </c>
      <c r="I6" s="4" t="s">
        <v>74</v>
      </c>
      <c r="J6" s="4">
        <v>60171234567</v>
      </c>
      <c r="K6" s="4"/>
      <c r="L6" s="4">
        <v>10001</v>
      </c>
      <c r="N6" s="3">
        <v>4</v>
      </c>
      <c r="O6" s="3">
        <v>4</v>
      </c>
      <c r="P6" s="3" t="s">
        <v>75</v>
      </c>
      <c r="Q6" s="3">
        <v>2015</v>
      </c>
      <c r="R6" s="3">
        <v>10001</v>
      </c>
      <c r="T6" s="4"/>
      <c r="U6" s="4"/>
      <c r="V6" s="4"/>
      <c r="W6" s="4"/>
      <c r="X6" s="4"/>
      <c r="Y6" s="4"/>
      <c r="AA6" s="4"/>
      <c r="AB6" s="4"/>
      <c r="AC6" s="4"/>
      <c r="AD6" s="4"/>
      <c r="AE6" s="4"/>
    </row>
    <row r="7" spans="1:31" x14ac:dyDescent="0.25">
      <c r="A7" s="4">
        <v>5</v>
      </c>
      <c r="B7" s="4" t="s">
        <v>76</v>
      </c>
      <c r="D7" s="4"/>
      <c r="E7" s="4">
        <v>1</v>
      </c>
      <c r="F7" s="4" t="s">
        <v>77</v>
      </c>
      <c r="H7" s="4"/>
      <c r="I7" s="4"/>
      <c r="J7" s="4">
        <v>60181234567</v>
      </c>
      <c r="K7" s="4"/>
      <c r="L7" s="4"/>
      <c r="N7" s="3"/>
      <c r="O7" s="3"/>
      <c r="P7" s="3"/>
      <c r="Q7" s="3"/>
      <c r="R7" s="3"/>
      <c r="T7" s="4"/>
      <c r="U7" s="4"/>
      <c r="V7" s="4"/>
      <c r="W7" s="4"/>
      <c r="X7" s="4"/>
      <c r="Y7" s="4"/>
      <c r="AA7" s="4"/>
      <c r="AB7" s="4"/>
      <c r="AC7" s="4"/>
      <c r="AD7" s="4"/>
      <c r="AE7" s="4"/>
    </row>
    <row r="8" spans="1:31" x14ac:dyDescent="0.25">
      <c r="A8" s="4">
        <v>6</v>
      </c>
      <c r="B8" s="4" t="s">
        <v>78</v>
      </c>
      <c r="D8" s="4"/>
      <c r="E8" s="4">
        <v>2</v>
      </c>
      <c r="F8" s="4" t="s">
        <v>77</v>
      </c>
      <c r="H8" s="4"/>
      <c r="I8" s="4"/>
      <c r="J8" s="4">
        <v>60191234567</v>
      </c>
      <c r="K8" s="4"/>
      <c r="L8" s="4"/>
      <c r="N8" s="3"/>
      <c r="O8" s="3"/>
      <c r="P8" s="3"/>
      <c r="Q8" s="3"/>
      <c r="R8" s="3"/>
      <c r="T8" s="4"/>
      <c r="U8" s="4"/>
      <c r="V8" s="4"/>
      <c r="W8" s="4"/>
      <c r="X8" s="4"/>
      <c r="Y8" s="4"/>
      <c r="AA8" s="4"/>
      <c r="AB8" s="4"/>
      <c r="AC8" s="4"/>
      <c r="AD8" s="4"/>
      <c r="AE8" s="4"/>
    </row>
    <row r="11" spans="1:31" x14ac:dyDescent="0.25">
      <c r="A11" s="46" t="s">
        <v>79</v>
      </c>
      <c r="B11" s="46"/>
      <c r="C11" s="46"/>
      <c r="D11" s="46"/>
      <c r="E11" s="2"/>
      <c r="H11" s="4"/>
      <c r="I11" s="46" t="s">
        <v>80</v>
      </c>
      <c r="J11" s="46"/>
      <c r="K11" s="46"/>
      <c r="L11" s="46"/>
    </row>
    <row r="12" spans="1:31" x14ac:dyDescent="0.25">
      <c r="A12" s="4" t="s">
        <v>81</v>
      </c>
      <c r="B12" s="4" t="s">
        <v>82</v>
      </c>
      <c r="C12" s="4" t="s">
        <v>83</v>
      </c>
      <c r="D12" s="4" t="s">
        <v>50</v>
      </c>
      <c r="H12" s="4"/>
      <c r="I12" s="4" t="s">
        <v>81</v>
      </c>
      <c r="J12" s="4" t="s">
        <v>84</v>
      </c>
      <c r="K12" s="4" t="s">
        <v>83</v>
      </c>
      <c r="L12" s="4" t="s">
        <v>50</v>
      </c>
    </row>
    <row r="13" spans="1:31" x14ac:dyDescent="0.25">
      <c r="A13" s="4"/>
      <c r="B13" s="4">
        <v>112233</v>
      </c>
      <c r="C13" s="4">
        <v>2</v>
      </c>
      <c r="D13" s="4"/>
      <c r="H13" s="4"/>
      <c r="I13" s="4"/>
      <c r="J13" s="4">
        <v>12344</v>
      </c>
      <c r="K13" s="4">
        <v>2</v>
      </c>
      <c r="L13" s="4">
        <v>2026</v>
      </c>
    </row>
    <row r="14" spans="1:31" x14ac:dyDescent="0.25">
      <c r="A14" s="4"/>
      <c r="B14" s="4">
        <v>112234</v>
      </c>
      <c r="C14" s="4">
        <v>2</v>
      </c>
      <c r="D14" s="4"/>
      <c r="H14" s="4"/>
      <c r="I14" s="4"/>
      <c r="J14" s="4">
        <v>12344</v>
      </c>
      <c r="K14" s="4">
        <v>3</v>
      </c>
      <c r="L14" s="4">
        <v>2026</v>
      </c>
    </row>
    <row r="15" spans="1:31" x14ac:dyDescent="0.25">
      <c r="A15" s="4"/>
      <c r="B15" s="4"/>
      <c r="C15" s="4"/>
      <c r="D15" s="4"/>
      <c r="H15" s="4"/>
      <c r="I15" s="4"/>
      <c r="J15" s="4">
        <v>12355</v>
      </c>
      <c r="K15" s="4">
        <v>4</v>
      </c>
      <c r="L15" s="4">
        <v>2026</v>
      </c>
    </row>
    <row r="16" spans="1:31" x14ac:dyDescent="0.25">
      <c r="A16" s="4"/>
      <c r="B16" s="4"/>
      <c r="C16" s="4"/>
      <c r="D16" s="4"/>
      <c r="H16" s="4"/>
      <c r="I16" s="4"/>
      <c r="J16" s="4">
        <v>12344</v>
      </c>
      <c r="K16" s="4">
        <v>4</v>
      </c>
      <c r="L16" s="4">
        <v>2027</v>
      </c>
    </row>
  </sheetData>
  <mergeCells count="7">
    <mergeCell ref="T1:Y1"/>
    <mergeCell ref="AA1:AE1"/>
    <mergeCell ref="A11:D11"/>
    <mergeCell ref="I11:L11"/>
    <mergeCell ref="A1:B1"/>
    <mergeCell ref="D1:F1"/>
    <mergeCell ref="H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2D44-7EE7-4D15-B40C-248E27B086F7}">
  <dimension ref="A1:L36"/>
  <sheetViews>
    <sheetView tabSelected="1" topLeftCell="A22" workbookViewId="0">
      <selection activeCell="B32" sqref="B32:G36"/>
    </sheetView>
  </sheetViews>
  <sheetFormatPr defaultRowHeight="14.4" x14ac:dyDescent="0.25"/>
  <cols>
    <col min="1" max="1" width="15" customWidth="1"/>
    <col min="2" max="2" width="16" style="18" customWidth="1"/>
    <col min="3" max="3" width="13.6640625" customWidth="1"/>
    <col min="4" max="4" width="14" customWidth="1"/>
    <col min="5" max="5" width="26.88671875" customWidth="1"/>
    <col min="6" max="6" width="22.77734375" customWidth="1"/>
    <col min="7" max="7" width="14.21875" customWidth="1"/>
    <col min="8" max="8" width="44.33203125" customWidth="1"/>
    <col min="9" max="9" width="9.21875" customWidth="1"/>
    <col min="10" max="10" width="12.77734375" customWidth="1"/>
    <col min="11" max="11" width="19.33203125" customWidth="1"/>
    <col min="12" max="12" width="48.44140625" customWidth="1"/>
    <col min="13" max="13" width="32.109375" customWidth="1"/>
  </cols>
  <sheetData>
    <row r="1" spans="1:12" ht="27.6" x14ac:dyDescent="0.25">
      <c r="A1" s="12" t="s">
        <v>102</v>
      </c>
      <c r="B1" s="12" t="s">
        <v>55</v>
      </c>
      <c r="C1" s="12" t="s">
        <v>85</v>
      </c>
      <c r="D1" s="12" t="s">
        <v>86</v>
      </c>
      <c r="E1" s="12" t="s">
        <v>137</v>
      </c>
      <c r="F1" s="12" t="s">
        <v>87</v>
      </c>
      <c r="G1" s="12" t="s">
        <v>88</v>
      </c>
      <c r="H1" s="12" t="s">
        <v>89</v>
      </c>
      <c r="I1" s="12" t="s">
        <v>138</v>
      </c>
      <c r="J1" s="13" t="s">
        <v>90</v>
      </c>
      <c r="K1" s="45" t="s">
        <v>141</v>
      </c>
      <c r="L1" s="12" t="s">
        <v>144</v>
      </c>
    </row>
    <row r="2" spans="1:12" x14ac:dyDescent="0.25">
      <c r="A2" s="12" t="s">
        <v>103</v>
      </c>
      <c r="B2" s="12" t="s">
        <v>101</v>
      </c>
      <c r="C2" s="12" t="s">
        <v>58</v>
      </c>
      <c r="D2" s="12" t="s">
        <v>62</v>
      </c>
      <c r="E2" s="12">
        <v>2026</v>
      </c>
      <c r="F2" s="14">
        <v>180827140600</v>
      </c>
      <c r="G2" s="12" t="s">
        <v>91</v>
      </c>
      <c r="H2" s="15" t="s">
        <v>92</v>
      </c>
      <c r="I2" s="12" t="s">
        <v>139</v>
      </c>
      <c r="J2" s="16">
        <v>0.95</v>
      </c>
      <c r="K2" s="16" t="s">
        <v>140</v>
      </c>
      <c r="L2" s="15" t="s">
        <v>93</v>
      </c>
    </row>
    <row r="3" spans="1:12" x14ac:dyDescent="0.25">
      <c r="A3" s="12" t="s">
        <v>103</v>
      </c>
      <c r="B3" s="12" t="s">
        <v>101</v>
      </c>
      <c r="C3" s="12" t="s">
        <v>58</v>
      </c>
      <c r="D3" s="12" t="s">
        <v>62</v>
      </c>
      <c r="E3" s="12">
        <v>2026</v>
      </c>
      <c r="F3" s="14">
        <v>170905140811</v>
      </c>
      <c r="G3" s="12" t="s">
        <v>94</v>
      </c>
      <c r="H3" s="15" t="s">
        <v>95</v>
      </c>
      <c r="I3" s="12" t="s">
        <v>139</v>
      </c>
      <c r="J3" s="16">
        <v>0.99</v>
      </c>
      <c r="K3" s="16" t="s">
        <v>140</v>
      </c>
      <c r="L3" s="15" t="s">
        <v>96</v>
      </c>
    </row>
    <row r="4" spans="1:12" x14ac:dyDescent="0.25">
      <c r="A4" s="12" t="s">
        <v>103</v>
      </c>
      <c r="B4" s="12" t="s">
        <v>101</v>
      </c>
      <c r="C4" s="12" t="s">
        <v>58</v>
      </c>
      <c r="D4" s="12" t="s">
        <v>62</v>
      </c>
      <c r="E4" s="12">
        <v>2026</v>
      </c>
      <c r="F4" s="17">
        <v>141401041644</v>
      </c>
      <c r="G4" s="12" t="s">
        <v>97</v>
      </c>
      <c r="H4" s="15" t="s">
        <v>98</v>
      </c>
      <c r="I4" s="12" t="s">
        <v>139</v>
      </c>
      <c r="J4" s="16">
        <v>0.92</v>
      </c>
      <c r="K4" s="16" t="s">
        <v>140</v>
      </c>
      <c r="L4" s="15" t="s">
        <v>99</v>
      </c>
    </row>
    <row r="5" spans="1:12" ht="34.200000000000003" customHeight="1" x14ac:dyDescent="0.25">
      <c r="A5" s="12" t="s">
        <v>103</v>
      </c>
      <c r="B5" s="12" t="s">
        <v>101</v>
      </c>
      <c r="C5" s="12" t="s">
        <v>58</v>
      </c>
      <c r="D5" s="12" t="s">
        <v>62</v>
      </c>
      <c r="E5" s="12">
        <v>2026</v>
      </c>
      <c r="F5" s="17">
        <v>141219141473</v>
      </c>
      <c r="G5" s="12" t="s">
        <v>97</v>
      </c>
      <c r="H5" s="15" t="s">
        <v>100</v>
      </c>
      <c r="I5" s="12" t="s">
        <v>139</v>
      </c>
      <c r="J5" s="16">
        <v>0.55000000000000004</v>
      </c>
      <c r="K5" s="16" t="s">
        <v>142</v>
      </c>
      <c r="L5" s="15" t="s">
        <v>143</v>
      </c>
    </row>
    <row r="9" spans="1:12" x14ac:dyDescent="0.25">
      <c r="A9" s="48" t="s">
        <v>150</v>
      </c>
      <c r="B9" s="48" t="s">
        <v>145</v>
      </c>
      <c r="C9" s="48" t="s">
        <v>146</v>
      </c>
      <c r="D9" s="48" t="s">
        <v>147</v>
      </c>
      <c r="E9" s="48" t="s">
        <v>148</v>
      </c>
      <c r="F9" s="48" t="s">
        <v>149</v>
      </c>
    </row>
    <row r="10" spans="1:12" x14ac:dyDescent="0.25">
      <c r="A10" s="3"/>
      <c r="B10" s="14">
        <v>180827140600</v>
      </c>
      <c r="C10" s="12" t="s">
        <v>157</v>
      </c>
      <c r="D10" s="16">
        <v>0.95</v>
      </c>
      <c r="E10" s="16" t="s">
        <v>140</v>
      </c>
      <c r="F10" s="12" t="s">
        <v>161</v>
      </c>
    </row>
    <row r="11" spans="1:12" x14ac:dyDescent="0.25">
      <c r="A11" s="3">
        <v>170905140811</v>
      </c>
      <c r="B11" s="14">
        <v>170905140811</v>
      </c>
      <c r="C11" s="12" t="s">
        <v>158</v>
      </c>
      <c r="D11" s="16">
        <v>0.99</v>
      </c>
      <c r="E11" s="16" t="s">
        <v>140</v>
      </c>
      <c r="F11" s="12" t="s">
        <v>162</v>
      </c>
      <c r="G11" t="b">
        <f>A11=B11</f>
        <v>1</v>
      </c>
    </row>
    <row r="12" spans="1:12" x14ac:dyDescent="0.25">
      <c r="A12" s="3">
        <v>141401041644</v>
      </c>
      <c r="B12" s="17">
        <v>141401041644</v>
      </c>
      <c r="C12" s="12" t="s">
        <v>159</v>
      </c>
      <c r="D12" s="16">
        <v>0.92</v>
      </c>
      <c r="E12" s="16" t="s">
        <v>140</v>
      </c>
      <c r="F12" s="12" t="s">
        <v>163</v>
      </c>
      <c r="G12" t="b">
        <f>A12=B12</f>
        <v>1</v>
      </c>
    </row>
    <row r="13" spans="1:12" ht="27.6" x14ac:dyDescent="0.25">
      <c r="A13" s="3"/>
      <c r="B13" s="17">
        <v>141219141473</v>
      </c>
      <c r="C13" s="12" t="s">
        <v>160</v>
      </c>
      <c r="D13" s="16">
        <v>0.55000000000000004</v>
      </c>
      <c r="E13" s="49" t="s">
        <v>142</v>
      </c>
      <c r="F13" s="12" t="s">
        <v>164</v>
      </c>
    </row>
    <row r="16" spans="1:12" x14ac:dyDescent="0.25">
      <c r="A16" s="12" t="s">
        <v>81</v>
      </c>
      <c r="B16" s="48" t="s">
        <v>145</v>
      </c>
      <c r="C16" s="12" t="s">
        <v>151</v>
      </c>
      <c r="D16" s="12" t="s">
        <v>152</v>
      </c>
      <c r="E16" s="12" t="s">
        <v>153</v>
      </c>
      <c r="F16" s="12" t="s">
        <v>154</v>
      </c>
      <c r="G16" s="12" t="s">
        <v>155</v>
      </c>
      <c r="H16" s="12" t="s">
        <v>156</v>
      </c>
    </row>
    <row r="17" spans="1:8" ht="63" customHeight="1" x14ac:dyDescent="0.25">
      <c r="A17" s="12"/>
      <c r="B17" s="14">
        <v>180827140600</v>
      </c>
      <c r="C17" s="51">
        <v>46029</v>
      </c>
      <c r="D17" s="13" t="s">
        <v>166</v>
      </c>
      <c r="E17" s="12" t="s">
        <v>167</v>
      </c>
      <c r="F17" s="52" t="s">
        <v>173</v>
      </c>
      <c r="G17" s="13" t="s">
        <v>174</v>
      </c>
      <c r="H17" s="12" t="s">
        <v>161</v>
      </c>
    </row>
    <row r="18" spans="1:8" ht="48.6" customHeight="1" x14ac:dyDescent="0.25">
      <c r="A18" s="12"/>
      <c r="B18" s="14">
        <v>170905140811</v>
      </c>
      <c r="C18" s="51">
        <v>46272</v>
      </c>
      <c r="D18" s="13" t="s">
        <v>165</v>
      </c>
      <c r="E18" s="12" t="s">
        <v>168</v>
      </c>
      <c r="F18" s="52" t="s">
        <v>96</v>
      </c>
      <c r="G18" s="13" t="s">
        <v>175</v>
      </c>
      <c r="H18" s="12" t="s">
        <v>162</v>
      </c>
    </row>
    <row r="19" spans="1:8" ht="55.8" customHeight="1" x14ac:dyDescent="0.25">
      <c r="A19" s="12"/>
      <c r="B19" s="17">
        <v>141401041644</v>
      </c>
      <c r="C19" s="51">
        <v>46240</v>
      </c>
      <c r="D19" s="13" t="s">
        <v>171</v>
      </c>
      <c r="E19" s="12" t="s">
        <v>169</v>
      </c>
      <c r="F19" s="52" t="s">
        <v>99</v>
      </c>
      <c r="G19" s="13" t="s">
        <v>176</v>
      </c>
      <c r="H19" s="12" t="s">
        <v>163</v>
      </c>
    </row>
    <row r="20" spans="1:8" ht="55.2" customHeight="1" x14ac:dyDescent="0.25">
      <c r="A20" s="12"/>
      <c r="B20" s="17">
        <v>141219141473</v>
      </c>
      <c r="C20" s="51">
        <v>46147</v>
      </c>
      <c r="D20" s="13" t="s">
        <v>170</v>
      </c>
      <c r="E20" s="12" t="s">
        <v>169</v>
      </c>
      <c r="F20" s="52" t="s">
        <v>143</v>
      </c>
      <c r="G20" s="13" t="s">
        <v>172</v>
      </c>
      <c r="H20" s="12" t="s">
        <v>164</v>
      </c>
    </row>
    <row r="23" spans="1:8" ht="15" x14ac:dyDescent="0.3">
      <c r="E23" s="50" t="s">
        <v>177</v>
      </c>
      <c r="F23" s="53" t="s">
        <v>178</v>
      </c>
    </row>
    <row r="24" spans="1:8" ht="15" x14ac:dyDescent="0.3">
      <c r="E24" s="54">
        <v>0</v>
      </c>
      <c r="F24" s="53" t="s">
        <v>179</v>
      </c>
    </row>
    <row r="25" spans="1:8" ht="15" x14ac:dyDescent="0.3">
      <c r="E25" s="54">
        <v>1</v>
      </c>
      <c r="F25" s="53" t="s">
        <v>184</v>
      </c>
    </row>
    <row r="26" spans="1:8" ht="15" x14ac:dyDescent="0.3">
      <c r="E26" s="54">
        <v>2</v>
      </c>
      <c r="F26" s="53" t="s">
        <v>183</v>
      </c>
    </row>
    <row r="27" spans="1:8" ht="15" x14ac:dyDescent="0.3">
      <c r="E27" s="54">
        <v>3</v>
      </c>
      <c r="F27" s="53" t="s">
        <v>182</v>
      </c>
    </row>
    <row r="28" spans="1:8" ht="15" x14ac:dyDescent="0.3">
      <c r="E28" s="54">
        <v>4</v>
      </c>
      <c r="F28" s="53" t="s">
        <v>181</v>
      </c>
    </row>
    <row r="29" spans="1:8" ht="15" x14ac:dyDescent="0.3">
      <c r="E29" s="54">
        <v>5</v>
      </c>
      <c r="F29" s="53" t="s">
        <v>180</v>
      </c>
    </row>
    <row r="32" spans="1:8" x14ac:dyDescent="0.25">
      <c r="A32" s="48" t="s">
        <v>150</v>
      </c>
      <c r="B32" s="48" t="s">
        <v>145</v>
      </c>
      <c r="C32" s="48" t="s">
        <v>191</v>
      </c>
      <c r="D32" s="48" t="s">
        <v>190</v>
      </c>
      <c r="E32" s="12" t="s">
        <v>185</v>
      </c>
      <c r="F32" s="12" t="s">
        <v>186</v>
      </c>
      <c r="G32" s="12" t="s">
        <v>187</v>
      </c>
    </row>
    <row r="33" spans="1:7" x14ac:dyDescent="0.25">
      <c r="A33" s="15"/>
      <c r="B33" s="14">
        <v>180827140600</v>
      </c>
      <c r="C33" s="14">
        <v>1</v>
      </c>
      <c r="D33" s="14">
        <v>2026</v>
      </c>
      <c r="E33" s="55" t="s">
        <v>189</v>
      </c>
      <c r="F33" s="55">
        <v>4</v>
      </c>
      <c r="G33" s="55" t="s">
        <v>189</v>
      </c>
    </row>
    <row r="34" spans="1:7" x14ac:dyDescent="0.25">
      <c r="A34" s="15"/>
      <c r="B34" s="14">
        <v>170905140811</v>
      </c>
      <c r="C34" s="14">
        <v>2</v>
      </c>
      <c r="D34" s="14">
        <v>2026</v>
      </c>
      <c r="E34" s="55" t="s">
        <v>188</v>
      </c>
      <c r="F34" s="55">
        <v>1</v>
      </c>
      <c r="G34" s="55" t="s">
        <v>188</v>
      </c>
    </row>
    <row r="35" spans="1:7" x14ac:dyDescent="0.25">
      <c r="A35" s="15"/>
      <c r="B35" s="17">
        <v>141401041644</v>
      </c>
      <c r="C35" s="17">
        <v>1</v>
      </c>
      <c r="D35" s="17">
        <v>2026</v>
      </c>
      <c r="E35" s="55" t="s">
        <v>189</v>
      </c>
      <c r="F35" s="55">
        <v>6</v>
      </c>
      <c r="G35" s="55" t="s">
        <v>189</v>
      </c>
    </row>
    <row r="36" spans="1:7" x14ac:dyDescent="0.25">
      <c r="A36" s="15"/>
      <c r="B36" s="17">
        <v>141219141473</v>
      </c>
      <c r="C36" s="17">
        <v>2</v>
      </c>
      <c r="D36" s="17">
        <v>2026</v>
      </c>
      <c r="E36" s="55" t="s">
        <v>188</v>
      </c>
      <c r="F36" s="55">
        <v>2</v>
      </c>
      <c r="G36" s="55" t="s">
        <v>188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8BE0-0CF6-481E-82FA-C744CB883EE7}">
  <dimension ref="A1:K16"/>
  <sheetViews>
    <sheetView workbookViewId="0">
      <selection activeCell="A10" sqref="A10"/>
    </sheetView>
  </sheetViews>
  <sheetFormatPr defaultColWidth="8.88671875" defaultRowHeight="14.4" x14ac:dyDescent="0.25"/>
  <cols>
    <col min="1" max="1" width="14.44140625" customWidth="1"/>
    <col min="2" max="2" width="14.109375" customWidth="1"/>
    <col min="3" max="3" width="37.6640625" customWidth="1"/>
    <col min="4" max="4" width="7.33203125" customWidth="1"/>
    <col min="5" max="5" width="9.33203125" customWidth="1"/>
    <col min="6" max="6" width="8.77734375" customWidth="1"/>
    <col min="7" max="7" width="7.33203125" customWidth="1"/>
    <col min="8" max="8" width="10.5546875" customWidth="1"/>
    <col min="9" max="9" width="7.33203125" customWidth="1"/>
    <col min="10" max="10" width="28.44140625" customWidth="1"/>
    <col min="11" max="11" width="37.21875" customWidth="1"/>
  </cols>
  <sheetData>
    <row r="1" spans="1:11" ht="28.8" x14ac:dyDescent="0.25">
      <c r="A1" s="1" t="s">
        <v>87</v>
      </c>
      <c r="B1" s="12" t="s">
        <v>88</v>
      </c>
      <c r="C1" s="1" t="s">
        <v>89</v>
      </c>
      <c r="D1" s="19" t="s">
        <v>104</v>
      </c>
      <c r="E1" s="19" t="s">
        <v>105</v>
      </c>
      <c r="F1" s="19" t="s">
        <v>106</v>
      </c>
      <c r="G1" s="19" t="s">
        <v>107</v>
      </c>
      <c r="H1" s="20" t="s">
        <v>108</v>
      </c>
      <c r="I1" s="21" t="s">
        <v>109</v>
      </c>
      <c r="J1" s="21" t="s">
        <v>110</v>
      </c>
      <c r="K1" s="21" t="s">
        <v>111</v>
      </c>
    </row>
    <row r="2" spans="1:11" ht="43.2" x14ac:dyDescent="0.25">
      <c r="A2" s="22">
        <v>180827140600</v>
      </c>
      <c r="B2" s="12" t="s">
        <v>91</v>
      </c>
      <c r="C2" s="23" t="s">
        <v>92</v>
      </c>
      <c r="D2" s="4">
        <v>18</v>
      </c>
      <c r="E2" s="4">
        <v>12</v>
      </c>
      <c r="F2" s="4">
        <v>18</v>
      </c>
      <c r="G2" s="4">
        <v>16</v>
      </c>
      <c r="H2" s="4">
        <v>24</v>
      </c>
      <c r="I2" s="4">
        <f t="shared" ref="I2:I5" si="0">SUM(D2:H2)</f>
        <v>88</v>
      </c>
      <c r="J2" s="4" t="str">
        <f t="shared" ref="J2:J5" si="1">IF(I2&gt;=109,"Tinggi (Minda Sihat)",IF(I2&gt;=73,"Sederhana (Perlu Perhatian)","Rendah (Berisiko)"))</f>
        <v>Sederhana (Perlu Perhatian)</v>
      </c>
      <c r="K2" s="24" t="str">
        <f t="shared" ref="K2:K5" si="2">IF(I2&gt;=109,"Teruskan amalan positif. Murid menunjukkan kesejahteraan mental yang baik.",IF(I2&gt;=73,"Murid memerlukan bimbingan dan sokongan. Guru bimbingan perlu memantau secara berkala.","Murid memerlukan intervensi segera. Rujukan kepada Guru Bimbingan &amp; Kaunseling atau pakar perlu dibuat."))</f>
        <v>Murid memerlukan bimbingan dan sokongan. Guru bimbingan perlu memantau secara berkala.</v>
      </c>
    </row>
    <row r="3" spans="1:11" ht="43.2" x14ac:dyDescent="0.3">
      <c r="A3" s="22">
        <v>170905140811</v>
      </c>
      <c r="B3" s="12" t="s">
        <v>94</v>
      </c>
      <c r="C3" s="23" t="s">
        <v>95</v>
      </c>
      <c r="D3" s="4">
        <v>18</v>
      </c>
      <c r="E3" s="4">
        <v>14</v>
      </c>
      <c r="F3" s="4">
        <v>18</v>
      </c>
      <c r="G3" s="4">
        <v>12</v>
      </c>
      <c r="H3" s="4">
        <v>10</v>
      </c>
      <c r="I3" s="4">
        <f t="shared" si="0"/>
        <v>72</v>
      </c>
      <c r="J3" s="25" t="s">
        <v>112</v>
      </c>
      <c r="K3" s="26" t="s">
        <v>113</v>
      </c>
    </row>
    <row r="4" spans="1:11" ht="43.2" x14ac:dyDescent="0.25">
      <c r="A4" s="27">
        <v>141401041644</v>
      </c>
      <c r="B4" s="12" t="s">
        <v>97</v>
      </c>
      <c r="C4" s="23" t="s">
        <v>98</v>
      </c>
      <c r="D4" s="4">
        <v>31</v>
      </c>
      <c r="E4" s="4">
        <v>26</v>
      </c>
      <c r="F4" s="4">
        <v>20</v>
      </c>
      <c r="G4" s="4">
        <v>16</v>
      </c>
      <c r="H4" s="4">
        <v>20</v>
      </c>
      <c r="I4" s="4">
        <f t="shared" si="0"/>
        <v>113</v>
      </c>
      <c r="J4" s="4" t="str">
        <f t="shared" si="1"/>
        <v>Tinggi (Minda Sihat)</v>
      </c>
      <c r="K4" s="24" t="str">
        <f t="shared" si="2"/>
        <v>Teruskan amalan positif. Murid menunjukkan kesejahteraan mental yang baik.</v>
      </c>
    </row>
    <row r="5" spans="1:11" ht="43.2" x14ac:dyDescent="0.25">
      <c r="A5" s="28">
        <v>141219141473</v>
      </c>
      <c r="B5" s="12" t="s">
        <v>97</v>
      </c>
      <c r="C5" s="23" t="s">
        <v>100</v>
      </c>
      <c r="D5" s="4">
        <v>27</v>
      </c>
      <c r="E5" s="4">
        <v>22</v>
      </c>
      <c r="F5" s="4">
        <v>24</v>
      </c>
      <c r="G5" s="4">
        <v>14</v>
      </c>
      <c r="H5" s="4">
        <v>18</v>
      </c>
      <c r="I5" s="4">
        <f t="shared" si="0"/>
        <v>105</v>
      </c>
      <c r="J5" s="4" t="str">
        <f t="shared" si="1"/>
        <v>Sederhana (Perlu Perhatian)</v>
      </c>
      <c r="K5" s="24" t="str">
        <f t="shared" si="2"/>
        <v>Murid memerlukan bimbingan dan sokongan. Guru bimbingan perlu memantau secara berkala.</v>
      </c>
    </row>
    <row r="10" spans="1:11" ht="53.4" thickBot="1" x14ac:dyDescent="0.3">
      <c r="B10" s="29" t="s">
        <v>110</v>
      </c>
      <c r="C10" s="30" t="s">
        <v>114</v>
      </c>
      <c r="D10" s="30" t="s">
        <v>111</v>
      </c>
      <c r="E10" s="7"/>
      <c r="F10" s="7"/>
      <c r="G10" s="29" t="s">
        <v>115</v>
      </c>
      <c r="H10" s="30" t="s">
        <v>116</v>
      </c>
      <c r="I10" s="30" t="s">
        <v>117</v>
      </c>
    </row>
    <row r="11" spans="1:11" ht="159" thickBot="1" x14ac:dyDescent="0.3">
      <c r="B11" s="31" t="s">
        <v>118</v>
      </c>
      <c r="C11" s="32" t="s">
        <v>119</v>
      </c>
      <c r="D11" s="32" t="s">
        <v>120</v>
      </c>
      <c r="G11" s="33" t="s">
        <v>121</v>
      </c>
      <c r="H11" s="34" t="s">
        <v>122</v>
      </c>
      <c r="I11" s="35">
        <v>32</v>
      </c>
    </row>
    <row r="12" spans="1:11" ht="211.8" thickBot="1" x14ac:dyDescent="0.3">
      <c r="B12" s="36" t="s">
        <v>123</v>
      </c>
      <c r="C12" s="37" t="s">
        <v>124</v>
      </c>
      <c r="D12" s="37" t="s">
        <v>125</v>
      </c>
      <c r="G12" s="38" t="s">
        <v>126</v>
      </c>
      <c r="H12" s="39" t="s">
        <v>127</v>
      </c>
      <c r="I12" s="40">
        <v>32</v>
      </c>
    </row>
    <row r="13" spans="1:11" ht="238.2" thickBot="1" x14ac:dyDescent="0.3">
      <c r="B13" s="41" t="s">
        <v>112</v>
      </c>
      <c r="C13" s="42" t="s">
        <v>128</v>
      </c>
      <c r="D13" s="42" t="s">
        <v>113</v>
      </c>
      <c r="G13" s="33" t="s">
        <v>129</v>
      </c>
      <c r="H13" s="34" t="s">
        <v>130</v>
      </c>
      <c r="I13" s="35">
        <v>32</v>
      </c>
    </row>
    <row r="14" spans="1:11" ht="40.200000000000003" thickBot="1" x14ac:dyDescent="0.3">
      <c r="G14" s="38" t="s">
        <v>131</v>
      </c>
      <c r="H14" s="39" t="s">
        <v>132</v>
      </c>
      <c r="I14" s="40">
        <v>24</v>
      </c>
    </row>
    <row r="15" spans="1:11" ht="66.599999999999994" thickBot="1" x14ac:dyDescent="0.3">
      <c r="G15" s="33" t="s">
        <v>133</v>
      </c>
      <c r="H15" s="34" t="s">
        <v>134</v>
      </c>
      <c r="I15" s="35">
        <v>24</v>
      </c>
    </row>
    <row r="16" spans="1:11" ht="66.599999999999994" thickBot="1" x14ac:dyDescent="0.3">
      <c r="G16" s="43" t="s">
        <v>135</v>
      </c>
      <c r="H16" s="44" t="s">
        <v>136</v>
      </c>
      <c r="I16" s="44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role_and_task</vt:lpstr>
      <vt:lpstr>database_architecture</vt:lpstr>
      <vt:lpstr>students_data</vt:lpstr>
      <vt:lpstr>Counselor_remarks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iegpc1</dc:creator>
  <cp:lastModifiedBy>iegpc1</cp:lastModifiedBy>
  <dcterms:created xsi:type="dcterms:W3CDTF">2026-07-14T10:23:00Z</dcterms:created>
  <dcterms:modified xsi:type="dcterms:W3CDTF">2026-07-27T13:35:05Z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A98524E744844D609F82568C63137D22_13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